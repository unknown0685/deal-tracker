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alishakr_upenn_edu/Documents/Finance Studies/Deal Tracker/"/>
    </mc:Choice>
  </mc:AlternateContent>
  <xr:revisionPtr revIDLastSave="26" documentId="11_08B7026C58C49004FFC79C1742CB2A6D0D2505E3" xr6:coauthVersionLast="47" xr6:coauthVersionMax="47" xr10:uidLastSave="{F6E5EBC3-0593-4F8B-A393-2CAE05CD84A3}"/>
  <bookViews>
    <workbookView xWindow="-90" yWindow="-90" windowWidth="19380" windowHeight="11460" xr2:uid="{00000000-000D-0000-FFFF-FFFF00000000}"/>
  </bookViews>
  <sheets>
    <sheet name="Dashboard" sheetId="1" r:id="rId1"/>
    <sheet name="Deals" sheetId="2" r:id="rId2"/>
    <sheet name="Markets" sheetId="3" r:id="rId3"/>
    <sheet name="MacroEvents" sheetId="4" r:id="rId4"/>
    <sheet name="Firms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5" l="1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21" i="1"/>
  <c r="B20" i="1"/>
  <c r="B19" i="1"/>
  <c r="B18" i="1"/>
  <c r="B15" i="1"/>
  <c r="F14" i="1"/>
  <c r="E14" i="1"/>
  <c r="B14" i="1"/>
  <c r="F13" i="1"/>
  <c r="E13" i="1"/>
  <c r="B13" i="1"/>
  <c r="F12" i="1"/>
  <c r="E12" i="1"/>
  <c r="B12" i="1"/>
  <c r="F11" i="1"/>
  <c r="E11" i="1"/>
  <c r="B11" i="1"/>
  <c r="F10" i="1"/>
  <c r="E10" i="1"/>
  <c r="B10" i="1"/>
  <c r="F9" i="1"/>
  <c r="E9" i="1"/>
  <c r="B9" i="1"/>
  <c r="F8" i="1"/>
  <c r="E8" i="1"/>
  <c r="B8" i="1"/>
  <c r="F7" i="1"/>
  <c r="E7" i="1"/>
  <c r="B7" i="1"/>
  <c r="F6" i="1"/>
  <c r="E6" i="1"/>
  <c r="B6" i="1"/>
  <c r="F5" i="1"/>
  <c r="E5" i="1"/>
  <c r="B5" i="1"/>
  <c r="F4" i="1"/>
  <c r="E4" i="1"/>
</calcChain>
</file>

<file path=xl/sharedStrings.xml><?xml version="1.0" encoding="utf-8"?>
<sst xmlns="http://schemas.openxmlformats.org/spreadsheetml/2006/main" count="504" uniqueCount="334">
  <si>
    <t>Interview-Ready Tracker</t>
  </si>
  <si>
    <t>All figures below are formulas over the Deals / Markets sheets; each data row carries its source URL.</t>
  </si>
  <si>
    <t>Deal type</t>
  </si>
  <si>
    <t>Count</t>
  </si>
  <si>
    <t>$bn disclosed</t>
  </si>
  <si>
    <t>Latest market prints</t>
  </si>
  <si>
    <t>M&amp;A</t>
  </si>
  <si>
    <t>Latest date with data</t>
  </si>
  <si>
    <t>LBO</t>
  </si>
  <si>
    <t>S&amp;P 500</t>
  </si>
  <si>
    <t>Take-private</t>
  </si>
  <si>
    <t>Nasdaq Composite</t>
  </si>
  <si>
    <t>RE</t>
  </si>
  <si>
    <t>Dow</t>
  </si>
  <si>
    <t>Infra</t>
  </si>
  <si>
    <t>Russell 2000</t>
  </si>
  <si>
    <t>Private credit</t>
  </si>
  <si>
    <t>2y UST %</t>
  </si>
  <si>
    <t>Fundraise</t>
  </si>
  <si>
    <t>10y UST %</t>
  </si>
  <si>
    <t>Exit/IPO</t>
  </si>
  <si>
    <t>30y UST %</t>
  </si>
  <si>
    <t>Secondaries</t>
  </si>
  <si>
    <t>Fed funds upper %</t>
  </si>
  <si>
    <t>Restructuring</t>
  </si>
  <si>
    <t>WTI $</t>
  </si>
  <si>
    <t>Minority/Growth</t>
  </si>
  <si>
    <t>Brent $</t>
  </si>
  <si>
    <t>Deal ledger</t>
  </si>
  <si>
    <t>Deals logged</t>
  </si>
  <si>
    <t>Disclosed value logged ($bn)</t>
  </si>
  <si>
    <t>…of which ANNOUNCED</t>
  </si>
  <si>
    <t>…of which REPORTED / RUMOR</t>
  </si>
  <si>
    <t>date_logged</t>
  </si>
  <si>
    <t>date_announced</t>
  </si>
  <si>
    <t>status</t>
  </si>
  <si>
    <t>deal</t>
  </si>
  <si>
    <t>acquirer_or_investor</t>
  </si>
  <si>
    <t>target</t>
  </si>
  <si>
    <t>sector</t>
  </si>
  <si>
    <t>deal_type</t>
  </si>
  <si>
    <t>value_usd_bn</t>
  </si>
  <si>
    <t>value_local</t>
  </si>
  <si>
    <t>multiple</t>
  </si>
  <si>
    <t>premium</t>
  </si>
  <si>
    <t>consideration</t>
  </si>
  <si>
    <t>financing</t>
  </si>
  <si>
    <t>buy_side_advisors</t>
  </si>
  <si>
    <t>sell_side_advisors</t>
  </si>
  <si>
    <t>covered_firms</t>
  </si>
  <si>
    <t>rationale</t>
  </si>
  <si>
    <t>source</t>
  </si>
  <si>
    <t>2026-10-03</t>
  </si>
  <si>
    <t>2026-09-15</t>
  </si>
  <si>
    <t>ANNOUNCED</t>
  </si>
  <si>
    <t>GE Aerospace / CPP</t>
  </si>
  <si>
    <t>GE Aerospace</t>
  </si>
  <si>
    <t>Consolidated Precision Products</t>
  </si>
  <si>
    <t>Aerospace</t>
  </si>
  <si>
    <t>n/d</t>
  </si>
  <si>
    <t>Cash</t>
  </si>
  <si>
    <t>~$7bn cash + new debt</t>
  </si>
  <si>
    <t>Vertical integration into castings supply chain</t>
  </si>
  <si>
    <t>https://intellizence.com/insights/merger-and-acquisition/top-5-ma-deals-of-the-week-reshaping-aerospace-software-real-estate-energy-and-banking/</t>
  </si>
  <si>
    <t>Cegid / Silae</t>
  </si>
  <si>
    <t>Cegid</t>
  </si>
  <si>
    <t>Silae</t>
  </si>
  <si>
    <t>Software</t>
  </si>
  <si>
    <t>EUR 10bn</t>
  </si>
  <si>
    <t>All-stock</t>
  </si>
  <si>
    <t>n/a</t>
  </si>
  <si>
    <t>French HR/payroll/accounting software consolidation</t>
  </si>
  <si>
    <t>IRT / Centerspace</t>
  </si>
  <si>
    <t>Independence Realty Trust</t>
  </si>
  <si>
    <t>Centerspace</t>
  </si>
  <si>
    <t>Real estate (multifamily)</t>
  </si>
  <si>
    <t>Multifamily REIT scale + geographic diversification</t>
  </si>
  <si>
    <t>Tamarack Valley / Headwater</t>
  </si>
  <si>
    <t>Tamarack Valley Energy</t>
  </si>
  <si>
    <t>Headwater Exploration</t>
  </si>
  <si>
    <t>Energy (upstream)</t>
  </si>
  <si>
    <t>CAD 10bn</t>
  </si>
  <si>
    <t>Largest Clearwater pure-play; 80k+ bbl/d</t>
  </si>
  <si>
    <t>EverBank / WaFd</t>
  </si>
  <si>
    <t>EverBank (reverse merger)</t>
  </si>
  <si>
    <t>WaFd</t>
  </si>
  <si>
    <t>Banks</t>
  </si>
  <si>
    <t>Digital specialty bank + western regional footprint</t>
  </si>
  <si>
    <t>2026-09-29</t>
  </si>
  <si>
    <t>Veritas / Bodycote</t>
  </si>
  <si>
    <t>Veritas Capital</t>
  </si>
  <si>
    <t>Bodycote</t>
  </si>
  <si>
    <t>Industrials</t>
  </si>
  <si>
    <t>GBP 1.85bn incl. debt</t>
  </si>
  <si>
    <t>UK take-private; CVC withdrew competing interest Sep 29</t>
  </si>
  <si>
    <t>https://www.privateequitywire.co.uk/content_channels/deals/</t>
  </si>
  <si>
    <t>2026-09-28</t>
  </si>
  <si>
    <t>REPORTED</t>
  </si>
  <si>
    <t>Warburg / Ingenia Communities (raised proposal)</t>
  </si>
  <si>
    <t>Warburg Pincus</t>
  </si>
  <si>
    <t>Ingenia Communities</t>
  </si>
  <si>
    <t>Real estate (retirement living)</t>
  </si>
  <si>
    <t>warburg-pincus</t>
  </si>
  <si>
    <t>Australian retirement-living / holiday parks platform</t>
  </si>
  <si>
    <t>2026-10-02</t>
  </si>
  <si>
    <t>Cary auction</t>
  </si>
  <si>
    <t>KKR; Blackstone; Warburg Pincus (bidders)</t>
  </si>
  <si>
    <t>Cary</t>
  </si>
  <si>
    <t>Services (auto glass)</t>
  </si>
  <si>
    <t>EUR ~3bn (reported)</t>
  </si>
  <si>
    <t>kkr;blackstone;warburg-pincus</t>
  </si>
  <si>
    <t>Sponsor auction for European windshield repair</t>
  </si>
  <si>
    <t>https://www.bloomberg.com/news/articles/2026-10-02/kkr-blackstone-are-among-suitors-for-windshield-repairer-cary</t>
  </si>
  <si>
    <t>2026-08-13</t>
  </si>
  <si>
    <t>H&amp;R REIT take-private</t>
  </si>
  <si>
    <t>Blackstone RE; Crestpoint; PSP</t>
  </si>
  <si>
    <t>H&amp;R REIT</t>
  </si>
  <si>
    <t>Real estate (diversified)</t>
  </si>
  <si>
    <t>CAD 6.7bn</t>
  </si>
  <si>
    <t>Cash and equity</t>
  </si>
  <si>
    <t>blackstone</t>
  </si>
  <si>
    <t>Public-to-private REIT arbitrage; close expected Q4 2026</t>
  </si>
  <si>
    <t>https://www.stblaw.com/about-us/news/view/2026/08/13/h-r-reit-to-be-acquired-in-c$6.7-billion-transaction</t>
  </si>
  <si>
    <t>2026-04</t>
  </si>
  <si>
    <t>Ares / Whitestone REIT</t>
  </si>
  <si>
    <t>Ares Management</t>
  </si>
  <si>
    <t>Whitestone REIT</t>
  </si>
  <si>
    <t>Real estate (retail)</t>
  </si>
  <si>
    <t>Cash ($19.00/sh)</t>
  </si>
  <si>
    <t>ares</t>
  </si>
  <si>
    <t>Sunbelt necessity retail via public-to-private</t>
  </si>
  <si>
    <t>https://www.kirkland.com/news/press-release/2026/04/kirkland-advises-ares-on-1-7-billion-acquisition-of-whitestone-reit</t>
  </si>
  <si>
    <t>2026</t>
  </si>
  <si>
    <t>Brookfield / Peakstone Realty</t>
  </si>
  <si>
    <t>Brookfield</t>
  </si>
  <si>
    <t>Peakstone Realty Trust</t>
  </si>
  <si>
    <t>Real estate</t>
  </si>
  <si>
    <t>Cash ($21/sh)</t>
  </si>
  <si>
    <t>brookfield</t>
  </si>
  <si>
    <t>REIT take-private (date to verify)</t>
  </si>
  <si>
    <t>https://ca.marketscreener.com/news/brookfield-to-acquire-peakstone-realty-trust-for-1-2bn-ce7e5bd2d98ff725</t>
  </si>
  <si>
    <t>2026-04-13</t>
  </si>
  <si>
    <t>PWP / Gleacher Shacklock</t>
  </si>
  <si>
    <t>Perella Weinberg Partners</t>
  </si>
  <si>
    <t>Gleacher Shacklock</t>
  </si>
  <si>
    <t>Financials (advisory)</t>
  </si>
  <si>
    <t>perella-weinberg</t>
  </si>
  <si>
    <t>UK coverage + cross-border reach</t>
  </si>
  <si>
    <t>https://www.bloomberg.com/news/articles/2026-04-13/perella-weinberg-agrees-to-buy-uk-boutique-gleacher-shacklock</t>
  </si>
  <si>
    <t>2026-06-12</t>
  </si>
  <si>
    <t>COMPLETED</t>
  </si>
  <si>
    <t>SpaceX IPO</t>
  </si>
  <si>
    <t>Public markets</t>
  </si>
  <si>
    <t>SpaceX</t>
  </si>
  <si>
    <t>Aerospace / AI</t>
  </si>
  <si>
    <t>$135/sh</t>
  </si>
  <si>
    <t>Largest IPO ever; ~$2.1tn day-1 market cap</t>
  </si>
  <si>
    <t>https://cdn2.benzinga.com/markets/ipos/26/06/53180108/spacex-stock-closes-up-19-in-record-shattering-ipo-debut</t>
  </si>
  <si>
    <t>2026-07</t>
  </si>
  <si>
    <t>Taylor Morrison sale to Berkshire Hathaway</t>
  </si>
  <si>
    <t>Berkshire Hathaway</t>
  </si>
  <si>
    <t>Taylor Morrison</t>
  </si>
  <si>
    <t>Homebuilders</t>
  </si>
  <si>
    <t>Moelis (per Moelis Q2 call; side to verify)</t>
  </si>
  <si>
    <t>moelis</t>
  </si>
  <si>
    <t>Long-duration bet on US housing shortage</t>
  </si>
  <si>
    <t>https://www.nasdaq.com/articles/moelis-company-q2-earnings-call-highlights</t>
  </si>
  <si>
    <t>2025-11</t>
  </si>
  <si>
    <t>Adobe / Semrush</t>
  </si>
  <si>
    <t>Adobe</t>
  </si>
  <si>
    <t>Semrush</t>
  </si>
  <si>
    <t>Cash ($12.00/sh)</t>
  </si>
  <si>
    <t>Centerview (exclusive)</t>
  </si>
  <si>
    <t>centerview</t>
  </si>
  <si>
    <t>SEO/marketing data into Experience Cloud</t>
  </si>
  <si>
    <t>https://www.goodwinlaw.com/en/news-and-events/news/2025/11/announcements-practices-ma-goodwin-advises-centerview-partners-on-semrush-acquisition</t>
  </si>
  <si>
    <t>date</t>
  </si>
  <si>
    <t>spx</t>
  </si>
  <si>
    <t>spx_pct</t>
  </si>
  <si>
    <t>ndx_comp</t>
  </si>
  <si>
    <t>ndx_comp_pct</t>
  </si>
  <si>
    <t>dow</t>
  </si>
  <si>
    <t>dow_pct</t>
  </si>
  <si>
    <t>rut</t>
  </si>
  <si>
    <t>rut_pct</t>
  </si>
  <si>
    <t>ust2y</t>
  </si>
  <si>
    <t>ust10y</t>
  </si>
  <si>
    <t>ust30y</t>
  </si>
  <si>
    <t>fed_funds_upper</t>
  </si>
  <si>
    <t>brent</t>
  </si>
  <si>
    <t>wti</t>
  </si>
  <si>
    <t>gold</t>
  </si>
  <si>
    <t>vix</t>
  </si>
  <si>
    <t>notes</t>
  </si>
  <si>
    <t>2026-10-01</t>
  </si>
  <si>
    <t>Fed H.15 constant-maturity yields</t>
  </si>
  <si>
    <t>https://www.federalreserve.gov/releases/h15/</t>
  </si>
  <si>
    <t>Sep payrolls +29k vs 84k; Oct hike odds 64%-&gt;22%</t>
  </si>
  <si>
    <t>https://finance.yahoo.com/markets/stocks/articles/p-500-nasdaq-dow-end-222859024.html</t>
  </si>
  <si>
    <t>category</t>
  </si>
  <si>
    <t>event</t>
  </si>
  <si>
    <t>actual</t>
  </si>
  <si>
    <t>consensus</t>
  </si>
  <si>
    <t>prior</t>
  </si>
  <si>
    <t>market_reaction</t>
  </si>
  <si>
    <t>2026-08-28</t>
  </si>
  <si>
    <t>Fed</t>
  </si>
  <si>
    <t>Warsh Jackson Hole: inflation too high; hikes may be needed</t>
  </si>
  <si>
    <t>Sep hike odds rose from ~1/3 to 57%</t>
  </si>
  <si>
    <t>https://npr.org/2026/08/28/nx-s1-5947903/federal-reserve-inflation-jackson-hole-interest-rates</t>
  </si>
  <si>
    <t>2026-09-16</t>
  </si>
  <si>
    <t>FOMC hikes 25bp to 3.75-4.00% (first hike since Jul 2023)</t>
  </si>
  <si>
    <t>3.75-4.00%</t>
  </si>
  <si>
    <t>3.50-3.75%</t>
  </si>
  <si>
    <t>Dots imply one more 2026 hike</t>
  </si>
  <si>
    <t>https://fedratecalc.com/fomc-meeting-schedule/september-2026/</t>
  </si>
  <si>
    <t>ECM</t>
  </si>
  <si>
    <t>Q3 global M&amp;A $993bn (-41% q/q); YTD $3.9tn (+28%)</t>
  </si>
  <si>
    <t>993bn</t>
  </si>
  <si>
    <t>https://www.globalbankingandfinance.com/global-m-deal-rush-fades-third-quarter-rising-borrowing/</t>
  </si>
  <si>
    <t>Data</t>
  </si>
  <si>
    <t>September nonfarm payrolls</t>
  </si>
  <si>
    <t>+29k</t>
  </si>
  <si>
    <t>+84k</t>
  </si>
  <si>
    <t>Stocks up; 10y +4bp to 5.28%; Oct hike odds 64%-&gt;22%</t>
  </si>
  <si>
    <t>https://www.cnbc.com/2026/10/02/treasury-yields-bonds-nonfarm-payrolls.html</t>
  </si>
  <si>
    <t>Unemployment rate (Sep)</t>
  </si>
  <si>
    <t>4.2%</t>
  </si>
  <si>
    <t>4.1%</t>
  </si>
  <si>
    <t>slug</t>
  </si>
  <si>
    <t>name</t>
  </si>
  <si>
    <t>type</t>
  </si>
  <si>
    <t>ticker</t>
  </si>
  <si>
    <t>deals_logged</t>
  </si>
  <si>
    <t>page</t>
  </si>
  <si>
    <t>evercore</t>
  </si>
  <si>
    <t>Evercore</t>
  </si>
  <si>
    <t>Elite boutique</t>
  </si>
  <si>
    <t>EVR</t>
  </si>
  <si>
    <t>firms/evercore.md</t>
  </si>
  <si>
    <t>Centerview Partners</t>
  </si>
  <si>
    <t>private</t>
  </si>
  <si>
    <t>firms/centerview.md</t>
  </si>
  <si>
    <t>pjt</t>
  </si>
  <si>
    <t>PJT Partners</t>
  </si>
  <si>
    <t>PJT</t>
  </si>
  <si>
    <t>firms/pjt.md</t>
  </si>
  <si>
    <t>lazard</t>
  </si>
  <si>
    <t>Lazard</t>
  </si>
  <si>
    <t>Elite boutique / asset mgmt</t>
  </si>
  <si>
    <t>LAZ</t>
  </si>
  <si>
    <t>firms/lazard.md</t>
  </si>
  <si>
    <t>Moelis &amp; Company</t>
  </si>
  <si>
    <t>MC</t>
  </si>
  <si>
    <t>firms/moelis.md</t>
  </si>
  <si>
    <t>PWP</t>
  </si>
  <si>
    <t>firms/perella-weinberg.md</t>
  </si>
  <si>
    <t>guggenheim</t>
  </si>
  <si>
    <t>Guggenheim Securities</t>
  </si>
  <si>
    <t>firms/guggenheim.md</t>
  </si>
  <si>
    <t>qatalyst</t>
  </si>
  <si>
    <t>Qatalyst Partners</t>
  </si>
  <si>
    <t>Elite boutique (tech)</t>
  </si>
  <si>
    <t>firms/qatalyst.md</t>
  </si>
  <si>
    <t>goldman-sachs</t>
  </si>
  <si>
    <t>Goldman Sachs</t>
  </si>
  <si>
    <t>Bulge bracket</t>
  </si>
  <si>
    <t>GS</t>
  </si>
  <si>
    <t>firms/goldman-sachs.md</t>
  </si>
  <si>
    <t>morgan-stanley</t>
  </si>
  <si>
    <t>Morgan Stanley</t>
  </si>
  <si>
    <t>MS</t>
  </si>
  <si>
    <t>firms/morgan-stanley.md</t>
  </si>
  <si>
    <t>jpmorgan</t>
  </si>
  <si>
    <t>J.P. Morgan</t>
  </si>
  <si>
    <t>JPM</t>
  </si>
  <si>
    <t>firms/jpmorgan.md</t>
  </si>
  <si>
    <t>Blackstone</t>
  </si>
  <si>
    <t>Alt manager: PE / RE / credit</t>
  </si>
  <si>
    <t>BX</t>
  </si>
  <si>
    <t>firms/blackstone.md</t>
  </si>
  <si>
    <t>kkr</t>
  </si>
  <si>
    <t>KKR</t>
  </si>
  <si>
    <t>Alt manager: PE / infra / credit</t>
  </si>
  <si>
    <t>firms/kkr.md</t>
  </si>
  <si>
    <t>apollo</t>
  </si>
  <si>
    <t>Apollo Global Management</t>
  </si>
  <si>
    <t>Alt manager: credit / PE</t>
  </si>
  <si>
    <t>APO</t>
  </si>
  <si>
    <t>firms/apollo.md</t>
  </si>
  <si>
    <t>carlyle</t>
  </si>
  <si>
    <t>Carlyle</t>
  </si>
  <si>
    <t>Alt manager: PE / credit</t>
  </si>
  <si>
    <t>CG</t>
  </si>
  <si>
    <t>firms/carlyle.md</t>
  </si>
  <si>
    <t>tpg</t>
  </si>
  <si>
    <t>TPG</t>
  </si>
  <si>
    <t>Alt manager: PE / growth / impact</t>
  </si>
  <si>
    <t>firms/tpg.md</t>
  </si>
  <si>
    <t>bain-capital</t>
  </si>
  <si>
    <t>Bain Capital</t>
  </si>
  <si>
    <t>PE</t>
  </si>
  <si>
    <t>firms/bain-capital.md</t>
  </si>
  <si>
    <t>thoma-bravo</t>
  </si>
  <si>
    <t>Thoma Bravo</t>
  </si>
  <si>
    <t>PE (software)</t>
  </si>
  <si>
    <t>firms/thoma-bravo.md</t>
  </si>
  <si>
    <t>silver-lake</t>
  </si>
  <si>
    <t>Silver Lake</t>
  </si>
  <si>
    <t>PE (tech)</t>
  </si>
  <si>
    <t>firms/silver-lake.md</t>
  </si>
  <si>
    <t>hellman-friedman</t>
  </si>
  <si>
    <t>Hellman &amp; Friedman</t>
  </si>
  <si>
    <t>firms/hellman-friedman.md</t>
  </si>
  <si>
    <t>PE (growth / buyout)</t>
  </si>
  <si>
    <t>firms/warburg-pincus.md</t>
  </si>
  <si>
    <t>advent</t>
  </si>
  <si>
    <t>Advent International</t>
  </si>
  <si>
    <t>firms/advent.md</t>
  </si>
  <si>
    <t>eqt</t>
  </si>
  <si>
    <t>EQT</t>
  </si>
  <si>
    <t>Alt manager: PE / infra</t>
  </si>
  <si>
    <t>EQT (Stockholm)</t>
  </si>
  <si>
    <t>firms/eqt.md</t>
  </si>
  <si>
    <t>Alt manager: RE / infra / renewables</t>
  </si>
  <si>
    <t>BN / BAM</t>
  </si>
  <si>
    <t>firms/brookfield.md</t>
  </si>
  <si>
    <t>starwood</t>
  </si>
  <si>
    <t>Starwood Capital</t>
  </si>
  <si>
    <t>Real estate PE</t>
  </si>
  <si>
    <t>firms/starwood.md</t>
  </si>
  <si>
    <t>Alt manager: credit / RE / PE</t>
  </si>
  <si>
    <t>ARES</t>
  </si>
  <si>
    <t>firms/ares.md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</si>
</sst>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Deals logged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Dashboard!$D$4:$D$14</c:f>
              <c:strCache>
                <c:ptCount val="11"/>
                <c:pt idx="0">
                  <c:v>M&amp;A</c:v>
                </c:pt>
                <c:pt idx="1">
                  <c:v>LBO</c:v>
                </c:pt>
                <c:pt idx="2">
                  <c:v>Take-private</c:v>
                </c:pt>
                <c:pt idx="3">
                  <c:v>RE</c:v>
                </c:pt>
                <c:pt idx="4">
                  <c:v>Infra</c:v>
                </c:pt>
                <c:pt idx="5">
                  <c:v>Private credit</c:v>
                </c:pt>
                <c:pt idx="6">
                  <c:v>Fundraise</c:v>
                </c:pt>
                <c:pt idx="7">
                  <c:v>Exit/IPO</c:v>
                </c:pt>
                <c:pt idx="8">
                  <c:v>Secondaries</c:v>
                </c:pt>
                <c:pt idx="9">
                  <c:v>Restructuring</c:v>
                </c:pt>
                <c:pt idx="10">
                  <c:v>Minority/Growth</c:v>
                </c:pt>
              </c:strCache>
            </c:strRef>
          </c:cat>
          <c:val>
            <c:numRef>
              <c:f>Dashboard!$E$4:$E$14</c:f>
              <c:numCache>
                <c:formatCode>General</c:formatCode>
                <c:ptCount val="11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8-4F3B-A06E-7756EB3E2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Treasury yields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Markets!$J$1</c:f>
              <c:strCache>
                <c:ptCount val="1"/>
                <c:pt idx="0">
                  <c:v>ust2y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Markets!$A$2:$A$3</c:f>
              <c:strCache>
                <c:ptCount val="2"/>
                <c:pt idx="0">
                  <c:v>2026-10-01</c:v>
                </c:pt>
                <c:pt idx="1">
                  <c:v>2026-10-02</c:v>
                </c:pt>
              </c:strCache>
            </c:strRef>
          </c:cat>
          <c:val>
            <c:numRef>
              <c:f>Markets!$J$2:$J$3</c:f>
              <c:numCache>
                <c:formatCode>General</c:formatCode>
                <c:ptCount val="2"/>
                <c:pt idx="0">
                  <c:v>4.78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C7-46EA-85CD-E157D8A38408}"/>
            </c:ext>
          </c:extLst>
        </c:ser>
        <c:ser>
          <c:idx val="1"/>
          <c:order val="1"/>
          <c:tx>
            <c:strRef>
              <c:f>Markets!$K$1</c:f>
              <c:strCache>
                <c:ptCount val="1"/>
                <c:pt idx="0">
                  <c:v>ust10y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Markets!$A$2:$A$3</c:f>
              <c:strCache>
                <c:ptCount val="2"/>
                <c:pt idx="0">
                  <c:v>2026-10-01</c:v>
                </c:pt>
                <c:pt idx="1">
                  <c:v>2026-10-02</c:v>
                </c:pt>
              </c:strCache>
            </c:strRef>
          </c:cat>
          <c:val>
            <c:numRef>
              <c:f>Markets!$K$2:$K$3</c:f>
              <c:numCache>
                <c:formatCode>General</c:formatCode>
                <c:ptCount val="2"/>
                <c:pt idx="0">
                  <c:v>5.24</c:v>
                </c:pt>
                <c:pt idx="1">
                  <c:v>5.28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C7-46EA-85CD-E157D8A38408}"/>
            </c:ext>
          </c:extLst>
        </c:ser>
        <c:ser>
          <c:idx val="2"/>
          <c:order val="2"/>
          <c:tx>
            <c:strRef>
              <c:f>Markets!$L$1</c:f>
              <c:strCache>
                <c:ptCount val="1"/>
                <c:pt idx="0">
                  <c:v>ust30y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Markets!$A$2:$A$3</c:f>
              <c:strCache>
                <c:ptCount val="2"/>
                <c:pt idx="0">
                  <c:v>2026-10-01</c:v>
                </c:pt>
                <c:pt idx="1">
                  <c:v>2026-10-02</c:v>
                </c:pt>
              </c:strCache>
            </c:strRef>
          </c:cat>
          <c:val>
            <c:numRef>
              <c:f>Markets!$L$2:$L$3</c:f>
              <c:numCache>
                <c:formatCode>General</c:formatCode>
                <c:ptCount val="2"/>
                <c:pt idx="0">
                  <c:v>5.61</c:v>
                </c:pt>
                <c:pt idx="1">
                  <c:v>5.62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C7-46EA-85CD-E157D8A38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S&amp;P 500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Markets!$B$1</c:f>
              <c:strCache>
                <c:ptCount val="1"/>
                <c:pt idx="0">
                  <c:v>spx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Markets!$A$2:$A$3</c:f>
              <c:strCache>
                <c:ptCount val="2"/>
                <c:pt idx="0">
                  <c:v>2026-10-01</c:v>
                </c:pt>
                <c:pt idx="1">
                  <c:v>2026-10-02</c:v>
                </c:pt>
              </c:strCache>
            </c:strRef>
          </c:cat>
          <c:val>
            <c:numRef>
              <c:f>Markets!$B$2:$B$3</c:f>
              <c:numCache>
                <c:formatCode>General</c:formatCode>
                <c:ptCount val="2"/>
                <c:pt idx="1">
                  <c:v>7722.72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13-478B-A9FA-C7BABD5F2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lsTbl" displayName="DealsTbl" ref="A1:S16">
  <autoFilter ref="A1:S16" xr:uid="{00000000-0009-0000-0100-000001000000}"/>
  <tableColumns count="19">
    <tableColumn id="1" xr3:uid="{00000000-0010-0000-0000-000001000000}" name="date_logged"/>
    <tableColumn id="2" xr3:uid="{00000000-0010-0000-0000-000002000000}" name="date_announced"/>
    <tableColumn id="3" xr3:uid="{00000000-0010-0000-0000-000003000000}" name="status"/>
    <tableColumn id="4" xr3:uid="{00000000-0010-0000-0000-000004000000}" name="deal"/>
    <tableColumn id="5" xr3:uid="{00000000-0010-0000-0000-000005000000}" name="acquirer_or_investor"/>
    <tableColumn id="6" xr3:uid="{00000000-0010-0000-0000-000006000000}" name="target"/>
    <tableColumn id="7" xr3:uid="{00000000-0010-0000-0000-000007000000}" name="sector"/>
    <tableColumn id="8" xr3:uid="{00000000-0010-0000-0000-000008000000}" name="deal_type"/>
    <tableColumn id="9" xr3:uid="{00000000-0010-0000-0000-000009000000}" name="value_usd_bn"/>
    <tableColumn id="10" xr3:uid="{00000000-0010-0000-0000-00000A000000}" name="value_local"/>
    <tableColumn id="11" xr3:uid="{00000000-0010-0000-0000-00000B000000}" name="multiple"/>
    <tableColumn id="12" xr3:uid="{00000000-0010-0000-0000-00000C000000}" name="premium"/>
    <tableColumn id="13" xr3:uid="{00000000-0010-0000-0000-00000D000000}" name="consideration"/>
    <tableColumn id="14" xr3:uid="{00000000-0010-0000-0000-00000E000000}" name="financing"/>
    <tableColumn id="15" xr3:uid="{00000000-0010-0000-0000-00000F000000}" name="buy_side_advisors"/>
    <tableColumn id="16" xr3:uid="{00000000-0010-0000-0000-000010000000}" name="sell_side_advisors"/>
    <tableColumn id="17" xr3:uid="{00000000-0010-0000-0000-000011000000}" name="covered_firms"/>
    <tableColumn id="18" xr3:uid="{00000000-0010-0000-0000-000012000000}" name="rationale"/>
    <tableColumn id="19" xr3:uid="{00000000-0010-0000-0000-000013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sTbl" displayName="MarketsTbl" ref="A1:S3">
  <autoFilter ref="A1:S3" xr:uid="{00000000-0009-0000-0100-000002000000}"/>
  <tableColumns count="19">
    <tableColumn id="1" xr3:uid="{00000000-0010-0000-0100-000001000000}" name="date"/>
    <tableColumn id="2" xr3:uid="{00000000-0010-0000-0100-000002000000}" name="spx"/>
    <tableColumn id="3" xr3:uid="{00000000-0010-0000-0100-000003000000}" name="spx_pct"/>
    <tableColumn id="4" xr3:uid="{00000000-0010-0000-0100-000004000000}" name="ndx_comp"/>
    <tableColumn id="5" xr3:uid="{00000000-0010-0000-0100-000005000000}" name="ndx_comp_pct"/>
    <tableColumn id="6" xr3:uid="{00000000-0010-0000-0100-000006000000}" name="dow"/>
    <tableColumn id="7" xr3:uid="{00000000-0010-0000-0100-000007000000}" name="dow_pct"/>
    <tableColumn id="8" xr3:uid="{00000000-0010-0000-0100-000008000000}" name="rut"/>
    <tableColumn id="9" xr3:uid="{00000000-0010-0000-0100-000009000000}" name="rut_pct"/>
    <tableColumn id="10" xr3:uid="{00000000-0010-0000-0100-00000A000000}" name="ust2y"/>
    <tableColumn id="11" xr3:uid="{00000000-0010-0000-0100-00000B000000}" name="ust10y"/>
    <tableColumn id="12" xr3:uid="{00000000-0010-0000-0100-00000C000000}" name="ust30y"/>
    <tableColumn id="13" xr3:uid="{00000000-0010-0000-0100-00000D000000}" name="fed_funds_upper"/>
    <tableColumn id="14" xr3:uid="{00000000-0010-0000-0100-00000E000000}" name="brent"/>
    <tableColumn id="15" xr3:uid="{00000000-0010-0000-0100-00000F000000}" name="wti"/>
    <tableColumn id="16" xr3:uid="{00000000-0010-0000-0100-000010000000}" name="gold"/>
    <tableColumn id="17" xr3:uid="{00000000-0010-0000-0100-000011000000}" name="vix"/>
    <tableColumn id="18" xr3:uid="{00000000-0010-0000-0100-000012000000}" name="notes"/>
    <tableColumn id="19" xr3:uid="{00000000-0010-0000-0100-000013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croTbl" displayName="MacroTbl" ref="A1:H6">
  <autoFilter ref="A1:H6" xr:uid="{00000000-0009-0000-0100-000003000000}"/>
  <tableColumns count="8">
    <tableColumn id="1" xr3:uid="{00000000-0010-0000-0200-000001000000}" name="date"/>
    <tableColumn id="2" xr3:uid="{00000000-0010-0000-0200-000002000000}" name="category"/>
    <tableColumn id="3" xr3:uid="{00000000-0010-0000-0200-000003000000}" name="event"/>
    <tableColumn id="4" xr3:uid="{00000000-0010-0000-0200-000004000000}" name="actual"/>
    <tableColumn id="5" xr3:uid="{00000000-0010-0000-0200-000005000000}" name="consensus"/>
    <tableColumn id="6" xr3:uid="{00000000-0010-0000-0200-000006000000}" name="prior"/>
    <tableColumn id="7" xr3:uid="{00000000-0010-0000-0200-000007000000}" name="market_reaction"/>
    <tableColumn id="8" xr3:uid="{00000000-0010-0000-0200-00000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oomberg.com/news/articles/2026-10-02/kkr-blackstone-are-among-suitors-for-windshield-repairer-cary" TargetMode="External"/><Relationship Id="rId13" Type="http://schemas.openxmlformats.org/officeDocument/2006/relationships/hyperlink" Target="https://cdn2.benzinga.com/markets/ipos/26/06/53180108/spacex-stock-closes-up-19-in-record-shattering-ipo-debut" TargetMode="External"/><Relationship Id="rId3" Type="http://schemas.openxmlformats.org/officeDocument/2006/relationships/hyperlink" Target="https://intellizence.com/insights/merger-and-acquisition/top-5-ma-deals-of-the-week-reshaping-aerospace-software-real-estate-energy-and-banking/" TargetMode="External"/><Relationship Id="rId7" Type="http://schemas.openxmlformats.org/officeDocument/2006/relationships/hyperlink" Target="https://www.privateequitywire.co.uk/content_channels/deals/" TargetMode="External"/><Relationship Id="rId12" Type="http://schemas.openxmlformats.org/officeDocument/2006/relationships/hyperlink" Target="https://www.bloomberg.com/news/articles/2026-04-13/perella-weinberg-agrees-to-buy-uk-boutique-gleacher-shacklock" TargetMode="External"/><Relationship Id="rId2" Type="http://schemas.openxmlformats.org/officeDocument/2006/relationships/hyperlink" Target="https://intellizence.com/insights/merger-and-acquisition/top-5-ma-deals-of-the-week-reshaping-aerospace-software-real-estate-energy-and-banking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intellizence.com/insights/merger-and-acquisition/top-5-ma-deals-of-the-week-reshaping-aerospace-software-real-estate-energy-and-banking/" TargetMode="External"/><Relationship Id="rId6" Type="http://schemas.openxmlformats.org/officeDocument/2006/relationships/hyperlink" Target="https://www.privateequitywire.co.uk/content_channels/deals/" TargetMode="External"/><Relationship Id="rId11" Type="http://schemas.openxmlformats.org/officeDocument/2006/relationships/hyperlink" Target="https://ca.marketscreener.com/news/brookfield-to-acquire-peakstone-realty-trust-for-1-2bn-ce7e5bd2d98ff725" TargetMode="External"/><Relationship Id="rId5" Type="http://schemas.openxmlformats.org/officeDocument/2006/relationships/hyperlink" Target="https://intellizence.com/insights/merger-and-acquisition/top-5-ma-deals-of-the-week-reshaping-aerospace-software-real-estate-energy-and-banking/" TargetMode="External"/><Relationship Id="rId15" Type="http://schemas.openxmlformats.org/officeDocument/2006/relationships/hyperlink" Target="https://www.goodwinlaw.com/en/news-and-events/news/2025/11/announcements-practices-ma-goodwin-advises-centerview-partners-on-semrush-acquisition" TargetMode="External"/><Relationship Id="rId10" Type="http://schemas.openxmlformats.org/officeDocument/2006/relationships/hyperlink" Target="https://www.kirkland.com/news/press-release/2026/04/kirkland-advises-ares-on-1-7-billion-acquisition-of-whitestone-reit" TargetMode="External"/><Relationship Id="rId4" Type="http://schemas.openxmlformats.org/officeDocument/2006/relationships/hyperlink" Target="https://intellizence.com/insights/merger-and-acquisition/top-5-ma-deals-of-the-week-reshaping-aerospace-software-real-estate-energy-and-banking/" TargetMode="External"/><Relationship Id="rId9" Type="http://schemas.openxmlformats.org/officeDocument/2006/relationships/hyperlink" Target="https://www.stblaw.com/about-us/news/view/2026/08/13/h-r-reit-to-be-acquired-in-c$6.7-billion-transaction" TargetMode="External"/><Relationship Id="rId14" Type="http://schemas.openxmlformats.org/officeDocument/2006/relationships/hyperlink" Target="https://www.nasdaq.com/articles/moelis-company-q2-earnings-call-highlight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finance.yahoo.com/markets/stocks/articles/p-500-nasdaq-dow-end-222859024.html" TargetMode="External"/><Relationship Id="rId1" Type="http://schemas.openxmlformats.org/officeDocument/2006/relationships/hyperlink" Target="https://www.federalreserve.gov/releases/h15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bankingandfinance.com/global-m-deal-rush-fades-third-quarter-rising-borrowing/" TargetMode="External"/><Relationship Id="rId2" Type="http://schemas.openxmlformats.org/officeDocument/2006/relationships/hyperlink" Target="https://fedratecalc.com/fomc-meeting-schedule/september-2026/" TargetMode="External"/><Relationship Id="rId1" Type="http://schemas.openxmlformats.org/officeDocument/2006/relationships/hyperlink" Target="https://npr.org/2026/08/28/nx-s1-5947903/federal-reserve-inflation-jackson-hole-interest-rates" TargetMode="External"/><Relationship Id="rId6" Type="http://schemas.openxmlformats.org/officeDocument/2006/relationships/table" Target="../tables/table3.xml"/><Relationship Id="rId5" Type="http://schemas.openxmlformats.org/officeDocument/2006/relationships/hyperlink" Target="https://www.cnbc.com/2026/10/02/treasury-yields-bonds-nonfarm-payrolls.html" TargetMode="External"/><Relationship Id="rId4" Type="http://schemas.openxmlformats.org/officeDocument/2006/relationships/hyperlink" Target="https://www.cnbc.com/2026/10/02/treasury-yields-bonds-nonfarm-payrol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75" x14ac:dyDescent="0.75"/>
  <cols>
    <col min="1" max="1" width="34" customWidth="1"/>
    <col min="2" max="2" width="16" customWidth="1"/>
    <col min="4" max="4" width="16" customWidth="1"/>
  </cols>
  <sheetData>
    <row r="1" spans="1:6" ht="21" x14ac:dyDescent="1">
      <c r="A1" s="1" t="s">
        <v>0</v>
      </c>
    </row>
    <row r="2" spans="1:6" x14ac:dyDescent="0.75">
      <c r="A2" t="s">
        <v>1</v>
      </c>
    </row>
    <row r="3" spans="1:6" x14ac:dyDescent="0.75">
      <c r="D3" s="2" t="s">
        <v>2</v>
      </c>
      <c r="E3" s="2" t="s">
        <v>3</v>
      </c>
      <c r="F3" s="2" t="s">
        <v>4</v>
      </c>
    </row>
    <row r="4" spans="1:6" x14ac:dyDescent="0.75">
      <c r="A4" s="2" t="s">
        <v>5</v>
      </c>
      <c r="D4" t="s">
        <v>6</v>
      </c>
      <c r="E4">
        <f>COUNTIF(Deals!H:H,D4)</f>
        <v>7</v>
      </c>
      <c r="F4">
        <f>SUMIF(Deals!H:H,D4,Deals!I:I)</f>
        <v>37.65</v>
      </c>
    </row>
    <row r="5" spans="1:6" x14ac:dyDescent="0.75">
      <c r="A5" t="s">
        <v>7</v>
      </c>
      <c r="B5" t="str">
        <f>IFERROR(LOOKUP(2,1/(Markets!A2:A10000&lt;&gt;""),Markets!A2:A10000),"n/a")</f>
        <v>2026-10-02</v>
      </c>
      <c r="D5" t="s">
        <v>8</v>
      </c>
      <c r="E5">
        <f>COUNTIF(Deals!H:H,D5)</f>
        <v>1</v>
      </c>
      <c r="F5">
        <f>SUMIF(Deals!H:H,D5,Deals!I:I)</f>
        <v>0</v>
      </c>
    </row>
    <row r="6" spans="1:6" x14ac:dyDescent="0.75">
      <c r="A6" t="s">
        <v>9</v>
      </c>
      <c r="B6">
        <f>IFERROR(LOOKUP(2,1/(Markets!B2:B10000&lt;&gt;""),Markets!B2:B10000),"n/a")</f>
        <v>7722.72</v>
      </c>
      <c r="D6" t="s">
        <v>10</v>
      </c>
      <c r="E6">
        <f>COUNTIF(Deals!H:H,D6)</f>
        <v>5</v>
      </c>
      <c r="F6">
        <f>SUMIF(Deals!H:H,D6,Deals!I:I)</f>
        <v>6.8500000000000005</v>
      </c>
    </row>
    <row r="7" spans="1:6" x14ac:dyDescent="0.75">
      <c r="A7" t="s">
        <v>11</v>
      </c>
      <c r="B7">
        <f>IFERROR(LOOKUP(2,1/(Markets!D2:D10000&lt;&gt;""),Markets!D2:D10000),"n/a")</f>
        <v>27190.86</v>
      </c>
      <c r="D7" t="s">
        <v>12</v>
      </c>
      <c r="E7">
        <f>COUNTIF(Deals!H:H,D7)</f>
        <v>1</v>
      </c>
      <c r="F7">
        <f>SUMIF(Deals!H:H,D7,Deals!I:I)</f>
        <v>8.1</v>
      </c>
    </row>
    <row r="8" spans="1:6" x14ac:dyDescent="0.75">
      <c r="A8" t="s">
        <v>13</v>
      </c>
      <c r="B8">
        <f>IFERROR(LOOKUP(2,1/(Markets!F2:F10000&lt;&gt;""),Markets!F2:F10000),"n/a")</f>
        <v>51176.959999999999</v>
      </c>
      <c r="D8" t="s">
        <v>14</v>
      </c>
      <c r="E8">
        <f>COUNTIF(Deals!H:H,D8)</f>
        <v>0</v>
      </c>
      <c r="F8">
        <f>SUMIF(Deals!H:H,D8,Deals!I:I)</f>
        <v>0</v>
      </c>
    </row>
    <row r="9" spans="1:6" x14ac:dyDescent="0.75">
      <c r="A9" t="s">
        <v>15</v>
      </c>
      <c r="B9">
        <f>IFERROR(LOOKUP(2,1/(Markets!H2:H10000&lt;&gt;""),Markets!H2:H10000),"n/a")</f>
        <v>2832.89</v>
      </c>
      <c r="D9" t="s">
        <v>16</v>
      </c>
      <c r="E9">
        <f>COUNTIF(Deals!H:H,D9)</f>
        <v>0</v>
      </c>
      <c r="F9">
        <f>SUMIF(Deals!H:H,D9,Deals!I:I)</f>
        <v>0</v>
      </c>
    </row>
    <row r="10" spans="1:6" x14ac:dyDescent="0.75">
      <c r="A10" t="s">
        <v>17</v>
      </c>
      <c r="B10">
        <f>IFERROR(LOOKUP(2,1/(Markets!J2:J10000&lt;&gt;""),Markets!J2:J10000),"n/a")</f>
        <v>4.78</v>
      </c>
      <c r="D10" t="s">
        <v>18</v>
      </c>
      <c r="E10">
        <f>COUNTIF(Deals!H:H,D10)</f>
        <v>0</v>
      </c>
      <c r="F10">
        <f>SUMIF(Deals!H:H,D10,Deals!I:I)</f>
        <v>0</v>
      </c>
    </row>
    <row r="11" spans="1:6" x14ac:dyDescent="0.75">
      <c r="A11" t="s">
        <v>19</v>
      </c>
      <c r="B11">
        <f>IFERROR(LOOKUP(2,1/(Markets!K2:K10000&lt;&gt;""),Markets!K2:K10000),"n/a")</f>
        <v>5.28</v>
      </c>
      <c r="D11" t="s">
        <v>20</v>
      </c>
      <c r="E11">
        <f>COUNTIF(Deals!H:H,D11)</f>
        <v>1</v>
      </c>
      <c r="F11">
        <f>SUMIF(Deals!H:H,D11,Deals!I:I)</f>
        <v>75</v>
      </c>
    </row>
    <row r="12" spans="1:6" x14ac:dyDescent="0.75">
      <c r="A12" t="s">
        <v>21</v>
      </c>
      <c r="B12">
        <f>IFERROR(LOOKUP(2,1/(Markets!L2:L10000&lt;&gt;""),Markets!L2:L10000),"n/a")</f>
        <v>5.62</v>
      </c>
      <c r="D12" t="s">
        <v>22</v>
      </c>
      <c r="E12">
        <f>COUNTIF(Deals!H:H,D12)</f>
        <v>0</v>
      </c>
      <c r="F12">
        <f>SUMIF(Deals!H:H,D12,Deals!I:I)</f>
        <v>0</v>
      </c>
    </row>
    <row r="13" spans="1:6" x14ac:dyDescent="0.75">
      <c r="A13" t="s">
        <v>23</v>
      </c>
      <c r="B13">
        <f>IFERROR(LOOKUP(2,1/(Markets!M2:M10000&lt;&gt;""),Markets!M2:M10000),"n/a")</f>
        <v>4</v>
      </c>
      <c r="D13" t="s">
        <v>24</v>
      </c>
      <c r="E13">
        <f>COUNTIF(Deals!H:H,D13)</f>
        <v>0</v>
      </c>
      <c r="F13">
        <f>SUMIF(Deals!H:H,D13,Deals!I:I)</f>
        <v>0</v>
      </c>
    </row>
    <row r="14" spans="1:6" x14ac:dyDescent="0.75">
      <c r="A14" t="s">
        <v>25</v>
      </c>
      <c r="B14">
        <f>IFERROR(LOOKUP(2,1/(Markets!O2:O10000&lt;&gt;""),Markets!O2:O10000),"n/a")</f>
        <v>91.11</v>
      </c>
      <c r="D14" t="s">
        <v>26</v>
      </c>
      <c r="E14">
        <f>COUNTIF(Deals!H:H,D14)</f>
        <v>0</v>
      </c>
      <c r="F14">
        <f>SUMIF(Deals!H:H,D14,Deals!I:I)</f>
        <v>0</v>
      </c>
    </row>
    <row r="15" spans="1:6" x14ac:dyDescent="0.75">
      <c r="A15" t="s">
        <v>27</v>
      </c>
      <c r="B15" t="str">
        <f>IFERROR(LOOKUP(2,1/(Markets!N2:N10000&lt;&gt;""),Markets!N2:N10000),"n/a")</f>
        <v>n/a</v>
      </c>
    </row>
    <row r="17" spans="1:2" x14ac:dyDescent="0.75">
      <c r="A17" s="2" t="s">
        <v>28</v>
      </c>
    </row>
    <row r="18" spans="1:2" x14ac:dyDescent="0.75">
      <c r="A18" t="s">
        <v>29</v>
      </c>
      <c r="B18">
        <f>COUNTA(Deals!A2:A100000)</f>
        <v>15</v>
      </c>
    </row>
    <row r="19" spans="1:2" x14ac:dyDescent="0.75">
      <c r="A19" t="s">
        <v>30</v>
      </c>
      <c r="B19">
        <f>SUM(Deals!I:I)</f>
        <v>127.60000000000002</v>
      </c>
    </row>
    <row r="20" spans="1:2" x14ac:dyDescent="0.75">
      <c r="A20" t="s">
        <v>31</v>
      </c>
      <c r="B20">
        <f>COUNTIF(Deals!C:C,"ANNOUNCED")</f>
        <v>12</v>
      </c>
    </row>
    <row r="21" spans="1:2" x14ac:dyDescent="0.75">
      <c r="A21" t="s">
        <v>32</v>
      </c>
      <c r="B21">
        <f>COUNTIF(Deals!C:C,"REPORTED")+COUNTIF(Deals!C:C,"RUMOR")</f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75" x14ac:dyDescent="0.75"/>
  <cols>
    <col min="1" max="1" width="15" customWidth="1"/>
    <col min="2" max="2" width="18" customWidth="1"/>
    <col min="3" max="3" width="10" customWidth="1"/>
    <col min="4" max="4" width="34" customWidth="1"/>
    <col min="5" max="5" width="30" customWidth="1"/>
    <col min="6" max="6" width="26" customWidth="1"/>
    <col min="7" max="7" width="10" customWidth="1"/>
    <col min="8" max="8" width="13" customWidth="1"/>
    <col min="9" max="9" width="16" customWidth="1"/>
    <col min="10" max="10" width="15" customWidth="1"/>
    <col min="11" max="11" width="12" customWidth="1"/>
    <col min="12" max="12" width="11" customWidth="1"/>
    <col min="13" max="13" width="17" customWidth="1"/>
    <col min="14" max="14" width="13" customWidth="1"/>
    <col min="15" max="15" width="21" customWidth="1"/>
    <col min="16" max="16" width="22" customWidth="1"/>
    <col min="17" max="17" width="17" customWidth="1"/>
    <col min="18" max="19" width="50" customWidth="1"/>
  </cols>
  <sheetData>
    <row r="1" spans="1:19" x14ac:dyDescent="0.7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</row>
    <row r="2" spans="1:19" x14ac:dyDescent="0.7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6</v>
      </c>
      <c r="I2">
        <v>11.75</v>
      </c>
      <c r="K2" t="s">
        <v>59</v>
      </c>
      <c r="L2" t="s">
        <v>59</v>
      </c>
      <c r="M2" t="s">
        <v>60</v>
      </c>
      <c r="N2" t="s">
        <v>61</v>
      </c>
      <c r="O2" t="s">
        <v>59</v>
      </c>
      <c r="P2" t="s">
        <v>59</v>
      </c>
      <c r="R2" t="s">
        <v>62</v>
      </c>
      <c r="S2" s="4" t="s">
        <v>63</v>
      </c>
    </row>
    <row r="3" spans="1:19" x14ac:dyDescent="0.75">
      <c r="A3" t="s">
        <v>52</v>
      </c>
      <c r="B3" t="s">
        <v>53</v>
      </c>
      <c r="C3" t="s">
        <v>54</v>
      </c>
      <c r="D3" t="s">
        <v>64</v>
      </c>
      <c r="E3" t="s">
        <v>65</v>
      </c>
      <c r="F3" t="s">
        <v>66</v>
      </c>
      <c r="G3" t="s">
        <v>67</v>
      </c>
      <c r="H3" t="s">
        <v>6</v>
      </c>
      <c r="I3">
        <v>11.6</v>
      </c>
      <c r="J3" t="s">
        <v>68</v>
      </c>
      <c r="K3" t="s">
        <v>59</v>
      </c>
      <c r="L3" t="s">
        <v>59</v>
      </c>
      <c r="M3" t="s">
        <v>69</v>
      </c>
      <c r="N3" t="s">
        <v>70</v>
      </c>
      <c r="O3" t="s">
        <v>59</v>
      </c>
      <c r="P3" t="s">
        <v>59</v>
      </c>
      <c r="R3" t="s">
        <v>71</v>
      </c>
      <c r="S3" s="4" t="s">
        <v>63</v>
      </c>
    </row>
    <row r="4" spans="1:19" x14ac:dyDescent="0.75">
      <c r="A4" t="s">
        <v>52</v>
      </c>
      <c r="B4" t="s">
        <v>53</v>
      </c>
      <c r="C4" t="s">
        <v>54</v>
      </c>
      <c r="D4" t="s">
        <v>72</v>
      </c>
      <c r="E4" t="s">
        <v>73</v>
      </c>
      <c r="F4" t="s">
        <v>74</v>
      </c>
      <c r="G4" t="s">
        <v>75</v>
      </c>
      <c r="H4" t="s">
        <v>12</v>
      </c>
      <c r="I4">
        <v>8.1</v>
      </c>
      <c r="K4" t="s">
        <v>59</v>
      </c>
      <c r="L4" t="s">
        <v>59</v>
      </c>
      <c r="M4" t="s">
        <v>69</v>
      </c>
      <c r="N4" t="s">
        <v>70</v>
      </c>
      <c r="O4" t="s">
        <v>59</v>
      </c>
      <c r="P4" t="s">
        <v>59</v>
      </c>
      <c r="R4" t="s">
        <v>76</v>
      </c>
      <c r="S4" s="4" t="s">
        <v>63</v>
      </c>
    </row>
    <row r="5" spans="1:19" x14ac:dyDescent="0.75">
      <c r="A5" t="s">
        <v>52</v>
      </c>
      <c r="B5" t="s">
        <v>53</v>
      </c>
      <c r="C5" t="s">
        <v>54</v>
      </c>
      <c r="D5" t="s">
        <v>77</v>
      </c>
      <c r="E5" t="s">
        <v>78</v>
      </c>
      <c r="F5" t="s">
        <v>79</v>
      </c>
      <c r="G5" t="s">
        <v>80</v>
      </c>
      <c r="H5" t="s">
        <v>6</v>
      </c>
      <c r="J5" t="s">
        <v>81</v>
      </c>
      <c r="K5" t="s">
        <v>59</v>
      </c>
      <c r="L5" t="s">
        <v>59</v>
      </c>
      <c r="M5" t="s">
        <v>69</v>
      </c>
      <c r="N5" t="s">
        <v>70</v>
      </c>
      <c r="O5" t="s">
        <v>59</v>
      </c>
      <c r="P5" t="s">
        <v>59</v>
      </c>
      <c r="R5" t="s">
        <v>82</v>
      </c>
      <c r="S5" s="4" t="s">
        <v>63</v>
      </c>
    </row>
    <row r="6" spans="1:19" x14ac:dyDescent="0.75">
      <c r="A6" t="s">
        <v>52</v>
      </c>
      <c r="B6" t="s">
        <v>53</v>
      </c>
      <c r="C6" t="s">
        <v>54</v>
      </c>
      <c r="D6" t="s">
        <v>83</v>
      </c>
      <c r="E6" t="s">
        <v>84</v>
      </c>
      <c r="F6" t="s">
        <v>85</v>
      </c>
      <c r="G6" t="s">
        <v>86</v>
      </c>
      <c r="H6" t="s">
        <v>6</v>
      </c>
      <c r="I6">
        <v>3.9</v>
      </c>
      <c r="K6" t="s">
        <v>59</v>
      </c>
      <c r="L6" t="s">
        <v>59</v>
      </c>
      <c r="M6" t="s">
        <v>59</v>
      </c>
      <c r="N6" t="s">
        <v>70</v>
      </c>
      <c r="O6" t="s">
        <v>59</v>
      </c>
      <c r="P6" t="s">
        <v>59</v>
      </c>
      <c r="R6" t="s">
        <v>87</v>
      </c>
      <c r="S6" s="4" t="s">
        <v>63</v>
      </c>
    </row>
    <row r="7" spans="1:19" x14ac:dyDescent="0.75">
      <c r="A7" t="s">
        <v>52</v>
      </c>
      <c r="B7" t="s">
        <v>88</v>
      </c>
      <c r="C7" t="s">
        <v>54</v>
      </c>
      <c r="D7" t="s">
        <v>89</v>
      </c>
      <c r="E7" t="s">
        <v>90</v>
      </c>
      <c r="F7" t="s">
        <v>91</v>
      </c>
      <c r="G7" t="s">
        <v>92</v>
      </c>
      <c r="H7" t="s">
        <v>10</v>
      </c>
      <c r="I7">
        <v>2.4500000000000002</v>
      </c>
      <c r="J7" t="s">
        <v>93</v>
      </c>
      <c r="K7" t="s">
        <v>59</v>
      </c>
      <c r="L7" t="s">
        <v>59</v>
      </c>
      <c r="M7" t="s">
        <v>60</v>
      </c>
      <c r="N7" t="s">
        <v>59</v>
      </c>
      <c r="O7" t="s">
        <v>59</v>
      </c>
      <c r="P7" t="s">
        <v>59</v>
      </c>
      <c r="R7" t="s">
        <v>94</v>
      </c>
      <c r="S7" s="4" t="s">
        <v>95</v>
      </c>
    </row>
    <row r="8" spans="1:19" x14ac:dyDescent="0.75">
      <c r="A8" t="s">
        <v>52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</v>
      </c>
      <c r="I8">
        <v>1.5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102</v>
      </c>
      <c r="R8" t="s">
        <v>103</v>
      </c>
      <c r="S8" s="4" t="s">
        <v>95</v>
      </c>
    </row>
    <row r="9" spans="1:19" x14ac:dyDescent="0.75">
      <c r="A9" t="s">
        <v>52</v>
      </c>
      <c r="B9" t="s">
        <v>104</v>
      </c>
      <c r="C9" t="s">
        <v>97</v>
      </c>
      <c r="D9" t="s">
        <v>105</v>
      </c>
      <c r="E9" t="s">
        <v>106</v>
      </c>
      <c r="F9" t="s">
        <v>107</v>
      </c>
      <c r="G9" t="s">
        <v>108</v>
      </c>
      <c r="H9" t="s">
        <v>8</v>
      </c>
      <c r="J9" t="s">
        <v>109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110</v>
      </c>
      <c r="R9" t="s">
        <v>111</v>
      </c>
      <c r="S9" s="4" t="s">
        <v>112</v>
      </c>
    </row>
    <row r="10" spans="1:19" x14ac:dyDescent="0.75">
      <c r="A10" t="s">
        <v>52</v>
      </c>
      <c r="B10" t="s">
        <v>113</v>
      </c>
      <c r="C10" t="s">
        <v>54</v>
      </c>
      <c r="D10" t="s">
        <v>114</v>
      </c>
      <c r="E10" t="s">
        <v>115</v>
      </c>
      <c r="F10" t="s">
        <v>116</v>
      </c>
      <c r="G10" t="s">
        <v>117</v>
      </c>
      <c r="H10" t="s">
        <v>10</v>
      </c>
      <c r="J10" t="s">
        <v>118</v>
      </c>
      <c r="K10" t="s">
        <v>59</v>
      </c>
      <c r="L10" t="s">
        <v>59</v>
      </c>
      <c r="M10" t="s">
        <v>119</v>
      </c>
      <c r="N10" t="s">
        <v>59</v>
      </c>
      <c r="O10" t="s">
        <v>59</v>
      </c>
      <c r="P10" t="s">
        <v>59</v>
      </c>
      <c r="Q10" t="s">
        <v>120</v>
      </c>
      <c r="R10" t="s">
        <v>121</v>
      </c>
      <c r="S10" s="4" t="s">
        <v>122</v>
      </c>
    </row>
    <row r="11" spans="1:19" x14ac:dyDescent="0.75">
      <c r="A11" t="s">
        <v>52</v>
      </c>
      <c r="B11" t="s">
        <v>123</v>
      </c>
      <c r="C11" t="s">
        <v>54</v>
      </c>
      <c r="D11" t="s">
        <v>124</v>
      </c>
      <c r="E11" t="s">
        <v>125</v>
      </c>
      <c r="F11" t="s">
        <v>126</v>
      </c>
      <c r="G11" t="s">
        <v>127</v>
      </c>
      <c r="H11" t="s">
        <v>10</v>
      </c>
      <c r="I11">
        <v>1.7</v>
      </c>
      <c r="K11" t="s">
        <v>59</v>
      </c>
      <c r="L11" t="s">
        <v>59</v>
      </c>
      <c r="M11" t="s">
        <v>128</v>
      </c>
      <c r="N11" t="s">
        <v>59</v>
      </c>
      <c r="O11" t="s">
        <v>59</v>
      </c>
      <c r="P11" t="s">
        <v>59</v>
      </c>
      <c r="Q11" t="s">
        <v>129</v>
      </c>
      <c r="R11" t="s">
        <v>130</v>
      </c>
      <c r="S11" s="4" t="s">
        <v>131</v>
      </c>
    </row>
    <row r="12" spans="1:19" x14ac:dyDescent="0.75">
      <c r="A12" t="s">
        <v>52</v>
      </c>
      <c r="B12" t="s">
        <v>132</v>
      </c>
      <c r="C12" t="s">
        <v>54</v>
      </c>
      <c r="D12" t="s">
        <v>133</v>
      </c>
      <c r="E12" t="s">
        <v>134</v>
      </c>
      <c r="F12" t="s">
        <v>135</v>
      </c>
      <c r="G12" t="s">
        <v>136</v>
      </c>
      <c r="H12" t="s">
        <v>10</v>
      </c>
      <c r="I12">
        <v>1.2</v>
      </c>
      <c r="K12" t="s">
        <v>59</v>
      </c>
      <c r="L12" t="s">
        <v>59</v>
      </c>
      <c r="M12" t="s">
        <v>137</v>
      </c>
      <c r="N12" t="s">
        <v>59</v>
      </c>
      <c r="O12" t="s">
        <v>59</v>
      </c>
      <c r="P12" t="s">
        <v>59</v>
      </c>
      <c r="Q12" t="s">
        <v>138</v>
      </c>
      <c r="R12" t="s">
        <v>139</v>
      </c>
      <c r="S12" s="4" t="s">
        <v>140</v>
      </c>
    </row>
    <row r="13" spans="1:19" x14ac:dyDescent="0.75">
      <c r="A13" t="s">
        <v>52</v>
      </c>
      <c r="B13" t="s">
        <v>141</v>
      </c>
      <c r="C13" t="s">
        <v>54</v>
      </c>
      <c r="D13" t="s">
        <v>142</v>
      </c>
      <c r="E13" t="s">
        <v>143</v>
      </c>
      <c r="F13" t="s">
        <v>144</v>
      </c>
      <c r="G13" t="s">
        <v>145</v>
      </c>
      <c r="H13" t="s">
        <v>6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146</v>
      </c>
      <c r="R13" t="s">
        <v>147</v>
      </c>
      <c r="S13" s="4" t="s">
        <v>148</v>
      </c>
    </row>
    <row r="14" spans="1:19" x14ac:dyDescent="0.75">
      <c r="A14" t="s">
        <v>52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20</v>
      </c>
      <c r="I14">
        <v>75</v>
      </c>
      <c r="M14" t="s">
        <v>155</v>
      </c>
      <c r="N14" t="s">
        <v>70</v>
      </c>
      <c r="O14" t="s">
        <v>59</v>
      </c>
      <c r="P14" t="s">
        <v>59</v>
      </c>
      <c r="R14" t="s">
        <v>156</v>
      </c>
      <c r="S14" s="4" t="s">
        <v>157</v>
      </c>
    </row>
    <row r="15" spans="1:19" x14ac:dyDescent="0.75">
      <c r="A15" t="s">
        <v>52</v>
      </c>
      <c r="B15" t="s">
        <v>158</v>
      </c>
      <c r="C15" t="s">
        <v>54</v>
      </c>
      <c r="D15" t="s">
        <v>159</v>
      </c>
      <c r="E15" t="s">
        <v>160</v>
      </c>
      <c r="F15" t="s">
        <v>161</v>
      </c>
      <c r="G15" t="s">
        <v>162</v>
      </c>
      <c r="H15" t="s">
        <v>6</v>
      </c>
      <c r="I15">
        <v>8.5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163</v>
      </c>
      <c r="Q15" t="s">
        <v>164</v>
      </c>
      <c r="R15" t="s">
        <v>165</v>
      </c>
      <c r="S15" s="4" t="s">
        <v>166</v>
      </c>
    </row>
    <row r="16" spans="1:19" x14ac:dyDescent="0.75">
      <c r="A16" t="s">
        <v>52</v>
      </c>
      <c r="B16" t="s">
        <v>167</v>
      </c>
      <c r="C16" t="s">
        <v>54</v>
      </c>
      <c r="D16" t="s">
        <v>168</v>
      </c>
      <c r="E16" t="s">
        <v>169</v>
      </c>
      <c r="F16" t="s">
        <v>170</v>
      </c>
      <c r="G16" t="s">
        <v>67</v>
      </c>
      <c r="H16" t="s">
        <v>6</v>
      </c>
      <c r="I16">
        <v>1.9</v>
      </c>
      <c r="K16" t="s">
        <v>59</v>
      </c>
      <c r="L16" t="s">
        <v>59</v>
      </c>
      <c r="M16" t="s">
        <v>171</v>
      </c>
      <c r="N16" t="s">
        <v>59</v>
      </c>
      <c r="O16" t="s">
        <v>59</v>
      </c>
      <c r="P16" t="s">
        <v>172</v>
      </c>
      <c r="Q16" t="s">
        <v>173</v>
      </c>
      <c r="R16" t="s">
        <v>174</v>
      </c>
      <c r="S16" s="4" t="s">
        <v>175</v>
      </c>
    </row>
  </sheetData>
  <hyperlinks>
    <hyperlink ref="S2" r:id="rId1" xr:uid="{00000000-0004-0000-0100-000000000000}"/>
    <hyperlink ref="S3" r:id="rId2" xr:uid="{00000000-0004-0000-0100-000001000000}"/>
    <hyperlink ref="S4" r:id="rId3" xr:uid="{00000000-0004-0000-0100-000002000000}"/>
    <hyperlink ref="S5" r:id="rId4" xr:uid="{00000000-0004-0000-0100-000003000000}"/>
    <hyperlink ref="S6" r:id="rId5" xr:uid="{00000000-0004-0000-0100-000004000000}"/>
    <hyperlink ref="S7" r:id="rId6" xr:uid="{00000000-0004-0000-0100-000005000000}"/>
    <hyperlink ref="S8" r:id="rId7" xr:uid="{00000000-0004-0000-0100-000006000000}"/>
    <hyperlink ref="S9" r:id="rId8" xr:uid="{00000000-0004-0000-0100-000007000000}"/>
    <hyperlink ref="S10" r:id="rId9" xr:uid="{00000000-0004-0000-0100-000008000000}"/>
    <hyperlink ref="S11" r:id="rId10" xr:uid="{00000000-0004-0000-0100-000009000000}"/>
    <hyperlink ref="S12" r:id="rId11" xr:uid="{00000000-0004-0000-0100-00000A000000}"/>
    <hyperlink ref="S13" r:id="rId12" xr:uid="{00000000-0004-0000-0100-00000B000000}"/>
    <hyperlink ref="S14" r:id="rId13" xr:uid="{00000000-0004-0000-0100-00000C000000}"/>
    <hyperlink ref="S15" r:id="rId14" xr:uid="{00000000-0004-0000-0100-00000D000000}"/>
    <hyperlink ref="S16" r:id="rId15" xr:uid="{00000000-0004-0000-0100-00000E000000}"/>
  </hyperlinks>
  <pageMargins left="0.75" right="0.75" top="1" bottom="1" header="0.5" footer="0.5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75" x14ac:dyDescent="0.75"/>
  <cols>
    <col min="1" max="2" width="10" customWidth="1"/>
    <col min="3" max="3" width="11" customWidth="1"/>
    <col min="4" max="4" width="12" customWidth="1"/>
    <col min="5" max="5" width="16" customWidth="1"/>
    <col min="6" max="6" width="10" customWidth="1"/>
    <col min="7" max="7" width="11" customWidth="1"/>
    <col min="8" max="8" width="10" customWidth="1"/>
    <col min="9" max="9" width="11" customWidth="1"/>
    <col min="10" max="12" width="10" customWidth="1"/>
    <col min="13" max="13" width="19" customWidth="1"/>
    <col min="14" max="17" width="10" customWidth="1"/>
    <col min="18" max="19" width="50" customWidth="1"/>
  </cols>
  <sheetData>
    <row r="1" spans="1:19" x14ac:dyDescent="0.7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193</v>
      </c>
      <c r="S1" s="3" t="s">
        <v>51</v>
      </c>
    </row>
    <row r="2" spans="1:19" x14ac:dyDescent="0.75">
      <c r="A2" t="s">
        <v>194</v>
      </c>
      <c r="J2">
        <v>4.78</v>
      </c>
      <c r="K2">
        <v>5.24</v>
      </c>
      <c r="L2">
        <v>5.61</v>
      </c>
      <c r="M2">
        <v>4</v>
      </c>
      <c r="R2" t="s">
        <v>195</v>
      </c>
      <c r="S2" s="4" t="s">
        <v>196</v>
      </c>
    </row>
    <row r="3" spans="1:19" x14ac:dyDescent="0.75">
      <c r="A3" t="s">
        <v>104</v>
      </c>
      <c r="B3">
        <v>7722.72</v>
      </c>
      <c r="C3">
        <v>0.73</v>
      </c>
      <c r="D3">
        <v>27190.86</v>
      </c>
      <c r="E3">
        <v>1.2</v>
      </c>
      <c r="F3">
        <v>51176.959999999999</v>
      </c>
      <c r="G3">
        <v>0.49</v>
      </c>
      <c r="H3">
        <v>2832.89</v>
      </c>
      <c r="I3">
        <v>0.94</v>
      </c>
      <c r="K3">
        <v>5.28</v>
      </c>
      <c r="L3">
        <v>5.62</v>
      </c>
      <c r="M3">
        <v>4</v>
      </c>
      <c r="O3">
        <v>91.11</v>
      </c>
      <c r="R3" t="s">
        <v>197</v>
      </c>
      <c r="S3" s="4" t="s">
        <v>198</v>
      </c>
    </row>
  </sheetData>
  <hyperlinks>
    <hyperlink ref="S2" r:id="rId1" xr:uid="{00000000-0004-0000-0200-000000000000}"/>
    <hyperlink ref="S3" r:id="rId2" xr:uid="{00000000-0004-0000-0200-000001000000}"/>
  </hyperlinks>
  <pageMargins left="0.75" right="0.75" top="1" bottom="1" header="0.5" footer="0.5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75" x14ac:dyDescent="0.75"/>
  <cols>
    <col min="1" max="1" width="10" customWidth="1"/>
    <col min="2" max="2" width="12" customWidth="1"/>
    <col min="3" max="3" width="60" customWidth="1"/>
    <col min="4" max="4" width="10" customWidth="1"/>
    <col min="5" max="5" width="13" customWidth="1"/>
    <col min="6" max="6" width="10" customWidth="1"/>
    <col min="7" max="7" width="19" customWidth="1"/>
    <col min="8" max="8" width="50" customWidth="1"/>
  </cols>
  <sheetData>
    <row r="1" spans="1:8" x14ac:dyDescent="0.75">
      <c r="A1" s="3" t="s">
        <v>176</v>
      </c>
      <c r="B1" s="3" t="s">
        <v>199</v>
      </c>
      <c r="C1" s="3" t="s">
        <v>200</v>
      </c>
      <c r="D1" s="3" t="s">
        <v>201</v>
      </c>
      <c r="E1" s="3" t="s">
        <v>202</v>
      </c>
      <c r="F1" s="3" t="s">
        <v>203</v>
      </c>
      <c r="G1" s="3" t="s">
        <v>204</v>
      </c>
      <c r="H1" s="3" t="s">
        <v>51</v>
      </c>
    </row>
    <row r="2" spans="1:8" x14ac:dyDescent="0.75">
      <c r="A2" t="s">
        <v>205</v>
      </c>
      <c r="B2" t="s">
        <v>206</v>
      </c>
      <c r="C2" t="s">
        <v>207</v>
      </c>
      <c r="G2" t="s">
        <v>208</v>
      </c>
      <c r="H2" s="4" t="s">
        <v>209</v>
      </c>
    </row>
    <row r="3" spans="1:8" x14ac:dyDescent="0.75">
      <c r="A3" t="s">
        <v>210</v>
      </c>
      <c r="B3" t="s">
        <v>206</v>
      </c>
      <c r="C3" t="s">
        <v>211</v>
      </c>
      <c r="D3" t="s">
        <v>212</v>
      </c>
      <c r="F3" t="s">
        <v>213</v>
      </c>
      <c r="G3" t="s">
        <v>214</v>
      </c>
      <c r="H3" s="4" t="s">
        <v>215</v>
      </c>
    </row>
    <row r="4" spans="1:8" x14ac:dyDescent="0.75">
      <c r="A4" t="s">
        <v>194</v>
      </c>
      <c r="B4" t="s">
        <v>216</v>
      </c>
      <c r="C4" t="s">
        <v>217</v>
      </c>
      <c r="D4" t="s">
        <v>218</v>
      </c>
      <c r="H4" s="4" t="s">
        <v>219</v>
      </c>
    </row>
    <row r="5" spans="1:8" x14ac:dyDescent="0.75">
      <c r="A5" t="s">
        <v>104</v>
      </c>
      <c r="B5" t="s">
        <v>220</v>
      </c>
      <c r="C5" t="s">
        <v>221</v>
      </c>
      <c r="D5" t="s">
        <v>222</v>
      </c>
      <c r="E5" t="s">
        <v>223</v>
      </c>
      <c r="G5" t="s">
        <v>224</v>
      </c>
      <c r="H5" s="4" t="s">
        <v>225</v>
      </c>
    </row>
    <row r="6" spans="1:8" x14ac:dyDescent="0.75">
      <c r="A6" t="s">
        <v>104</v>
      </c>
      <c r="B6" t="s">
        <v>220</v>
      </c>
      <c r="C6" t="s">
        <v>226</v>
      </c>
      <c r="D6" t="s">
        <v>227</v>
      </c>
      <c r="E6" t="s">
        <v>228</v>
      </c>
      <c r="F6" t="s">
        <v>228</v>
      </c>
      <c r="H6" s="4" t="s">
        <v>225</v>
      </c>
    </row>
  </sheetData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</hyperlinks>
  <pageMargins left="0.75" right="0.75" top="1" bottom="1" header="0.5" footer="0.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/>
  </sheetViews>
  <sheetFormatPr defaultRowHeight="14.75" x14ac:dyDescent="0.75"/>
  <cols>
    <col min="1" max="1" width="20" customWidth="1"/>
    <col min="2" max="2" width="30" customWidth="1"/>
    <col min="3" max="3" width="34" customWidth="1"/>
    <col min="4" max="4" width="16" customWidth="1"/>
    <col min="5" max="5" width="14" customWidth="1"/>
    <col min="6" max="6" width="30" customWidth="1"/>
  </cols>
  <sheetData>
    <row r="1" spans="1:6" x14ac:dyDescent="0.75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</row>
    <row r="2" spans="1:6" x14ac:dyDescent="0.75">
      <c r="A2" t="s">
        <v>235</v>
      </c>
      <c r="B2" t="s">
        <v>236</v>
      </c>
      <c r="C2" t="s">
        <v>237</v>
      </c>
      <c r="D2" t="s">
        <v>238</v>
      </c>
      <c r="E2">
        <f>COUNTIF(Deals!$Q:$Q,"*"&amp;A2&amp;"*")</f>
        <v>0</v>
      </c>
      <c r="F2" t="s">
        <v>239</v>
      </c>
    </row>
    <row r="3" spans="1:6" x14ac:dyDescent="0.75">
      <c r="A3" t="s">
        <v>173</v>
      </c>
      <c r="B3" t="s">
        <v>240</v>
      </c>
      <c r="C3" t="s">
        <v>237</v>
      </c>
      <c r="D3" t="s">
        <v>241</v>
      </c>
      <c r="E3">
        <f>COUNTIF(Deals!$Q:$Q,"*"&amp;A3&amp;"*")</f>
        <v>1</v>
      </c>
      <c r="F3" t="s">
        <v>242</v>
      </c>
    </row>
    <row r="4" spans="1:6" x14ac:dyDescent="0.75">
      <c r="A4" t="s">
        <v>243</v>
      </c>
      <c r="B4" t="s">
        <v>244</v>
      </c>
      <c r="C4" t="s">
        <v>237</v>
      </c>
      <c r="D4" t="s">
        <v>245</v>
      </c>
      <c r="E4">
        <f>COUNTIF(Deals!$Q:$Q,"*"&amp;A4&amp;"*")</f>
        <v>0</v>
      </c>
      <c r="F4" t="s">
        <v>246</v>
      </c>
    </row>
    <row r="5" spans="1:6" x14ac:dyDescent="0.75">
      <c r="A5" t="s">
        <v>247</v>
      </c>
      <c r="B5" t="s">
        <v>248</v>
      </c>
      <c r="C5" t="s">
        <v>249</v>
      </c>
      <c r="D5" t="s">
        <v>250</v>
      </c>
      <c r="E5">
        <f>COUNTIF(Deals!$Q:$Q,"*"&amp;A5&amp;"*")</f>
        <v>0</v>
      </c>
      <c r="F5" t="s">
        <v>251</v>
      </c>
    </row>
    <row r="6" spans="1:6" x14ac:dyDescent="0.75">
      <c r="A6" t="s">
        <v>164</v>
      </c>
      <c r="B6" t="s">
        <v>252</v>
      </c>
      <c r="C6" t="s">
        <v>237</v>
      </c>
      <c r="D6" t="s">
        <v>253</v>
      </c>
      <c r="E6">
        <f>COUNTIF(Deals!$Q:$Q,"*"&amp;A6&amp;"*")</f>
        <v>1</v>
      </c>
      <c r="F6" t="s">
        <v>254</v>
      </c>
    </row>
    <row r="7" spans="1:6" x14ac:dyDescent="0.75">
      <c r="A7" t="s">
        <v>146</v>
      </c>
      <c r="B7" t="s">
        <v>143</v>
      </c>
      <c r="C7" t="s">
        <v>237</v>
      </c>
      <c r="D7" t="s">
        <v>255</v>
      </c>
      <c r="E7">
        <f>COUNTIF(Deals!$Q:$Q,"*"&amp;A7&amp;"*")</f>
        <v>1</v>
      </c>
      <c r="F7" t="s">
        <v>256</v>
      </c>
    </row>
    <row r="8" spans="1:6" x14ac:dyDescent="0.75">
      <c r="A8" t="s">
        <v>257</v>
      </c>
      <c r="B8" t="s">
        <v>258</v>
      </c>
      <c r="C8" t="s">
        <v>237</v>
      </c>
      <c r="D8" t="s">
        <v>241</v>
      </c>
      <c r="E8">
        <f>COUNTIF(Deals!$Q:$Q,"*"&amp;A8&amp;"*")</f>
        <v>0</v>
      </c>
      <c r="F8" t="s">
        <v>259</v>
      </c>
    </row>
    <row r="9" spans="1:6" x14ac:dyDescent="0.75">
      <c r="A9" t="s">
        <v>260</v>
      </c>
      <c r="B9" t="s">
        <v>261</v>
      </c>
      <c r="C9" t="s">
        <v>262</v>
      </c>
      <c r="D9" t="s">
        <v>241</v>
      </c>
      <c r="E9">
        <f>COUNTIF(Deals!$Q:$Q,"*"&amp;A9&amp;"*")</f>
        <v>0</v>
      </c>
      <c r="F9" t="s">
        <v>263</v>
      </c>
    </row>
    <row r="10" spans="1:6" x14ac:dyDescent="0.75">
      <c r="A10" t="s">
        <v>264</v>
      </c>
      <c r="B10" t="s">
        <v>265</v>
      </c>
      <c r="C10" t="s">
        <v>266</v>
      </c>
      <c r="D10" t="s">
        <v>267</v>
      </c>
      <c r="E10">
        <f>COUNTIF(Deals!$Q:$Q,"*"&amp;A10&amp;"*")</f>
        <v>0</v>
      </c>
      <c r="F10" t="s">
        <v>268</v>
      </c>
    </row>
    <row r="11" spans="1:6" x14ac:dyDescent="0.75">
      <c r="A11" t="s">
        <v>269</v>
      </c>
      <c r="B11" t="s">
        <v>270</v>
      </c>
      <c r="C11" t="s">
        <v>266</v>
      </c>
      <c r="D11" t="s">
        <v>271</v>
      </c>
      <c r="E11">
        <f>COUNTIF(Deals!$Q:$Q,"*"&amp;A11&amp;"*")</f>
        <v>0</v>
      </c>
      <c r="F11" t="s">
        <v>272</v>
      </c>
    </row>
    <row r="12" spans="1:6" x14ac:dyDescent="0.75">
      <c r="A12" t="s">
        <v>273</v>
      </c>
      <c r="B12" t="s">
        <v>274</v>
      </c>
      <c r="C12" t="s">
        <v>266</v>
      </c>
      <c r="D12" t="s">
        <v>275</v>
      </c>
      <c r="E12">
        <f>COUNTIF(Deals!$Q:$Q,"*"&amp;A12&amp;"*")</f>
        <v>0</v>
      </c>
      <c r="F12" t="s">
        <v>276</v>
      </c>
    </row>
    <row r="13" spans="1:6" x14ac:dyDescent="0.75">
      <c r="A13" t="s">
        <v>120</v>
      </c>
      <c r="B13" t="s">
        <v>277</v>
      </c>
      <c r="C13" t="s">
        <v>278</v>
      </c>
      <c r="D13" t="s">
        <v>279</v>
      </c>
      <c r="E13">
        <f>COUNTIF(Deals!$Q:$Q,"*"&amp;A13&amp;"*")</f>
        <v>2</v>
      </c>
      <c r="F13" t="s">
        <v>280</v>
      </c>
    </row>
    <row r="14" spans="1:6" x14ac:dyDescent="0.75">
      <c r="A14" t="s">
        <v>281</v>
      </c>
      <c r="B14" t="s">
        <v>282</v>
      </c>
      <c r="C14" t="s">
        <v>283</v>
      </c>
      <c r="D14" t="s">
        <v>282</v>
      </c>
      <c r="E14">
        <f>COUNTIF(Deals!$Q:$Q,"*"&amp;A14&amp;"*")</f>
        <v>1</v>
      </c>
      <c r="F14" t="s">
        <v>284</v>
      </c>
    </row>
    <row r="15" spans="1:6" x14ac:dyDescent="0.75">
      <c r="A15" t="s">
        <v>285</v>
      </c>
      <c r="B15" t="s">
        <v>286</v>
      </c>
      <c r="C15" t="s">
        <v>287</v>
      </c>
      <c r="D15" t="s">
        <v>288</v>
      </c>
      <c r="E15">
        <f>COUNTIF(Deals!$Q:$Q,"*"&amp;A15&amp;"*")</f>
        <v>0</v>
      </c>
      <c r="F15" t="s">
        <v>289</v>
      </c>
    </row>
    <row r="16" spans="1:6" x14ac:dyDescent="0.75">
      <c r="A16" t="s">
        <v>290</v>
      </c>
      <c r="B16" t="s">
        <v>291</v>
      </c>
      <c r="C16" t="s">
        <v>292</v>
      </c>
      <c r="D16" t="s">
        <v>293</v>
      </c>
      <c r="E16">
        <f>COUNTIF(Deals!$Q:$Q,"*"&amp;A16&amp;"*")</f>
        <v>0</v>
      </c>
      <c r="F16" t="s">
        <v>294</v>
      </c>
    </row>
    <row r="17" spans="1:6" x14ac:dyDescent="0.75">
      <c r="A17" t="s">
        <v>295</v>
      </c>
      <c r="B17" t="s">
        <v>296</v>
      </c>
      <c r="C17" t="s">
        <v>297</v>
      </c>
      <c r="D17" t="s">
        <v>296</v>
      </c>
      <c r="E17">
        <f>COUNTIF(Deals!$Q:$Q,"*"&amp;A17&amp;"*")</f>
        <v>0</v>
      </c>
      <c r="F17" t="s">
        <v>298</v>
      </c>
    </row>
    <row r="18" spans="1:6" x14ac:dyDescent="0.75">
      <c r="A18" t="s">
        <v>299</v>
      </c>
      <c r="B18" t="s">
        <v>300</v>
      </c>
      <c r="C18" t="s">
        <v>301</v>
      </c>
      <c r="D18" t="s">
        <v>241</v>
      </c>
      <c r="E18">
        <f>COUNTIF(Deals!$Q:$Q,"*"&amp;A18&amp;"*")</f>
        <v>0</v>
      </c>
      <c r="F18" t="s">
        <v>302</v>
      </c>
    </row>
    <row r="19" spans="1:6" x14ac:dyDescent="0.75">
      <c r="A19" t="s">
        <v>303</v>
      </c>
      <c r="B19" t="s">
        <v>304</v>
      </c>
      <c r="C19" t="s">
        <v>305</v>
      </c>
      <c r="D19" t="s">
        <v>241</v>
      </c>
      <c r="E19">
        <f>COUNTIF(Deals!$Q:$Q,"*"&amp;A19&amp;"*")</f>
        <v>0</v>
      </c>
      <c r="F19" t="s">
        <v>306</v>
      </c>
    </row>
    <row r="20" spans="1:6" x14ac:dyDescent="0.75">
      <c r="A20" t="s">
        <v>307</v>
      </c>
      <c r="B20" t="s">
        <v>308</v>
      </c>
      <c r="C20" t="s">
        <v>309</v>
      </c>
      <c r="D20" t="s">
        <v>241</v>
      </c>
      <c r="E20">
        <f>COUNTIF(Deals!$Q:$Q,"*"&amp;A20&amp;"*")</f>
        <v>0</v>
      </c>
      <c r="F20" t="s">
        <v>310</v>
      </c>
    </row>
    <row r="21" spans="1:6" x14ac:dyDescent="0.75">
      <c r="A21" t="s">
        <v>311</v>
      </c>
      <c r="B21" t="s">
        <v>312</v>
      </c>
      <c r="C21" t="s">
        <v>301</v>
      </c>
      <c r="D21" t="s">
        <v>241</v>
      </c>
      <c r="E21">
        <f>COUNTIF(Deals!$Q:$Q,"*"&amp;A21&amp;"*")</f>
        <v>0</v>
      </c>
      <c r="F21" t="s">
        <v>313</v>
      </c>
    </row>
    <row r="22" spans="1:6" x14ac:dyDescent="0.75">
      <c r="A22" t="s">
        <v>102</v>
      </c>
      <c r="B22" t="s">
        <v>99</v>
      </c>
      <c r="C22" t="s">
        <v>314</v>
      </c>
      <c r="D22" t="s">
        <v>241</v>
      </c>
      <c r="E22">
        <f>COUNTIF(Deals!$Q:$Q,"*"&amp;A22&amp;"*")</f>
        <v>2</v>
      </c>
      <c r="F22" t="s">
        <v>315</v>
      </c>
    </row>
    <row r="23" spans="1:6" x14ac:dyDescent="0.75">
      <c r="A23" t="s">
        <v>316</v>
      </c>
      <c r="B23" t="s">
        <v>317</v>
      </c>
      <c r="C23" t="s">
        <v>301</v>
      </c>
      <c r="D23" t="s">
        <v>241</v>
      </c>
      <c r="E23">
        <f>COUNTIF(Deals!$Q:$Q,"*"&amp;A23&amp;"*")</f>
        <v>0</v>
      </c>
      <c r="F23" t="s">
        <v>318</v>
      </c>
    </row>
    <row r="24" spans="1:6" x14ac:dyDescent="0.75">
      <c r="A24" t="s">
        <v>319</v>
      </c>
      <c r="B24" t="s">
        <v>320</v>
      </c>
      <c r="C24" t="s">
        <v>321</v>
      </c>
      <c r="D24" t="s">
        <v>322</v>
      </c>
      <c r="E24">
        <f>COUNTIF(Deals!$Q:$Q,"*"&amp;A24&amp;"*")</f>
        <v>0</v>
      </c>
      <c r="F24" t="s">
        <v>323</v>
      </c>
    </row>
    <row r="25" spans="1:6" x14ac:dyDescent="0.75">
      <c r="A25" t="s">
        <v>138</v>
      </c>
      <c r="B25" t="s">
        <v>134</v>
      </c>
      <c r="C25" t="s">
        <v>324</v>
      </c>
      <c r="D25" t="s">
        <v>325</v>
      </c>
      <c r="E25">
        <f>COUNTIF(Deals!$Q:$Q,"*"&amp;A25&amp;"*")</f>
        <v>1</v>
      </c>
      <c r="F25" t="s">
        <v>326</v>
      </c>
    </row>
    <row r="26" spans="1:6" x14ac:dyDescent="0.75">
      <c r="A26" t="s">
        <v>327</v>
      </c>
      <c r="B26" t="s">
        <v>328</v>
      </c>
      <c r="C26" t="s">
        <v>329</v>
      </c>
      <c r="D26" t="s">
        <v>241</v>
      </c>
      <c r="E26">
        <f>COUNTIF(Deals!$Q:$Q,"*"&amp;A26&amp;"*")</f>
        <v>0</v>
      </c>
      <c r="F26" t="s">
        <v>330</v>
      </c>
    </row>
    <row r="27" spans="1:6" x14ac:dyDescent="0.75">
      <c r="A27" t="s">
        <v>129</v>
      </c>
      <c r="B27" t="s">
        <v>125</v>
      </c>
      <c r="C27" t="s">
        <v>331</v>
      </c>
      <c r="D27" t="s">
        <v>332</v>
      </c>
      <c r="E27">
        <f>COUNTIF(Deals!$Q:$Q,"*"&amp;A27&amp;"*")</f>
        <v>1</v>
      </c>
      <c r="F27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Deals</vt:lpstr>
      <vt:lpstr>Markets</vt:lpstr>
      <vt:lpstr>MacroEvents</vt:lpstr>
      <vt:lpstr>Firms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Shakerin, Ali</cp:lastModifiedBy>
  <dcterms:created xsi:type="dcterms:W3CDTF">2026-10-03T22:43:56Z</dcterms:created>
  <dcterms:modified xsi:type="dcterms:W3CDTF">2026-10-03T22:44:09Z</dcterms:modified>
</cp:coreProperties>
</file>